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nthly Budget" sheetId="2" state="visible" r:id="rId2"/>
    <sheet name="Annual Plan" sheetId="3" state="visible" r:id="rId3"/>
    <sheet name="City Comparison" sheetId="4" state="visible" r:id="rId4"/>
    <sheet name="Net Worth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0;[Red]-#,##0.00"/>
  </numFmts>
  <fonts count="11">
    <font>
      <name val="Calibri"/>
      <family val="2"/>
      <color theme="1"/>
      <sz val="11"/>
      <scheme val="minor"/>
    </font>
    <font>
      <color rgb="00FFFFFF"/>
      <sz val="11"/>
    </font>
    <font>
      <b val="1"/>
      <color rgb="00FFFFFF"/>
      <sz val="16"/>
    </font>
    <font>
      <b val="1"/>
      <color rgb="00FFFFFF"/>
      <sz val="12"/>
    </font>
    <font>
      <color rgb="0058A6FF"/>
      <sz val="11"/>
    </font>
    <font>
      <b val="1"/>
      <color rgb="00F0C040"/>
      <sz val="11"/>
    </font>
    <font>
      <b val="1"/>
      <color rgb="00FFFFFF"/>
      <sz val="11"/>
    </font>
    <font>
      <b val="1"/>
      <color rgb="00F0C040"/>
      <sz val="14"/>
    </font>
    <font>
      <b val="1"/>
      <color rgb="0010B981"/>
      <sz val="11"/>
    </font>
    <font>
      <color rgb="00F59E0B"/>
      <sz val="11"/>
    </font>
    <font>
      <b val="1"/>
      <color rgb="00EF4444"/>
      <sz val="11"/>
    </font>
  </fonts>
  <fills count="10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7C3AED"/>
      </patternFill>
    </fill>
    <fill>
      <patternFill patternType="solid">
        <fgColor rgb="001A2332"/>
      </patternFill>
    </fill>
    <fill>
      <patternFill patternType="solid">
        <fgColor rgb="001C2333"/>
      </patternFill>
    </fill>
    <fill>
      <patternFill patternType="solid">
        <fgColor rgb="00161B22"/>
      </patternFill>
    </fill>
    <fill>
      <patternFill patternType="solid">
        <fgColor rgb="00F59E0B"/>
      </patternFill>
    </fill>
    <fill>
      <patternFill patternType="solid">
        <fgColor rgb="0010B981"/>
      </patternFill>
    </fill>
    <fill>
      <patternFill patternType="solid">
        <fgColor rgb="00EF4444"/>
      </patternFill>
    </fill>
  </fills>
  <borders count="2">
    <border>
      <left/>
      <right/>
      <top/>
      <bottom/>
      <diagonal/>
    </border>
    <border>
      <left style="thin">
        <color rgb="007C3AED"/>
      </left>
      <right style="thin">
        <color rgb="007C3AED"/>
      </right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1" fillId="4" borderId="0" pivotButton="0" quotePrefix="0" xfId="0"/>
    <xf numFmtId="0" fontId="6" fillId="6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1" fillId="6" borderId="0" pivotButton="0" quotePrefix="0" xfId="0"/>
    <xf numFmtId="164" fontId="8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4" fontId="1" fillId="6" borderId="0" applyAlignment="1" pivotButton="0" quotePrefix="0" xfId="0">
      <alignment horizontal="right" vertical="center"/>
    </xf>
    <xf numFmtId="4" fontId="5" fillId="6" borderId="0" applyAlignment="1" pivotButton="0" quotePrefix="0" xfId="0">
      <alignment horizontal="right" vertical="center"/>
    </xf>
    <xf numFmtId="164" fontId="1" fillId="6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/>
    </xf>
    <xf numFmtId="164" fontId="5" fillId="6" borderId="0" applyAlignment="1" pivotButton="0" quotePrefix="0" xfId="0">
      <alignment horizontal="right" vertical="center"/>
    </xf>
    <xf numFmtId="4" fontId="7" fillId="6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6" fontId="1" fillId="6" borderId="0" applyAlignment="1" pivotButton="0" quotePrefix="0" xfId="0">
      <alignment horizontal="right" vertical="center"/>
    </xf>
    <xf numFmtId="0" fontId="3" fillId="7" borderId="0" applyAlignment="1" pivotButton="0" quotePrefix="0" xfId="0">
      <alignment horizontal="left" vertical="center"/>
    </xf>
    <xf numFmtId="166" fontId="5" fillId="6" borderId="0" applyAlignment="1" pivotButton="0" quotePrefix="0" xfId="0">
      <alignment horizontal="right" vertical="center"/>
    </xf>
    <xf numFmtId="4" fontId="8" fillId="6" borderId="0" applyAlignment="1" pivotButton="0" quotePrefix="0" xfId="0">
      <alignment horizontal="right" vertical="center"/>
    </xf>
    <xf numFmtId="0" fontId="6" fillId="6" borderId="0" pivotButton="0" quotePrefix="0" xfId="0"/>
    <xf numFmtId="0" fontId="8" fillId="6" borderId="0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4" fontId="10" fillId="6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b val="1"/>
        <color rgb="0010B98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A1:R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4" customWidth="1" min="6" max="6"/>
    <col width="3" customWidth="1" min="7" max="7"/>
    <col width="2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n"/>
      <c r="B1" s="2" t="inlineStr">
        <is>
          <t>Personal Budget Dashboard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3" t="inlineStr">
        <is>
          <t>INCOME ASSUMPTIONS</t>
        </is>
      </c>
      <c r="C3" s="3" t="n"/>
      <c r="D3" s="3" t="n"/>
      <c r="E3" s="3" t="n"/>
      <c r="F3" s="1" t="n"/>
      <c r="G3" s="1" t="n"/>
      <c r="H3" s="3" t="inlineStr">
        <is>
          <t>SAVINGS GOALS TRACKER</t>
        </is>
      </c>
      <c r="I3" s="3" t="n"/>
      <c r="J3" s="3" t="n"/>
      <c r="K3" s="3" t="n"/>
      <c r="L3" s="3" t="n"/>
      <c r="M3" s="1" t="n"/>
      <c r="N3" s="1" t="n"/>
      <c r="O3" s="1" t="n"/>
      <c r="P3" s="1" t="n"/>
      <c r="Q3" s="1" t="n"/>
      <c r="R3" s="1" t="n"/>
    </row>
    <row r="4">
      <c r="A4" s="1" t="n"/>
      <c r="B4" s="4" t="inlineStr">
        <is>
          <t>Annual Gross Salary</t>
        </is>
      </c>
      <c r="C4" s="5" t="n">
        <v>78000</v>
      </c>
      <c r="D4" s="6" t="n"/>
      <c r="E4" s="6" t="n"/>
      <c r="F4" s="1" t="n"/>
      <c r="G4" s="1" t="n"/>
      <c r="H4" s="7" t="inlineStr">
        <is>
          <t>Savings Bucket</t>
        </is>
      </c>
      <c r="I4" s="7" t="inlineStr">
        <is>
          <t>Target</t>
        </is>
      </c>
      <c r="J4" s="7" t="inlineStr">
        <is>
          <t>Saved So Far</t>
        </is>
      </c>
      <c r="K4" s="7" t="inlineStr">
        <is>
          <t>% Progress</t>
        </is>
      </c>
      <c r="L4" s="7" t="inlineStr">
        <is>
          <t>Months to Goal</t>
        </is>
      </c>
      <c r="M4" s="1" t="n"/>
      <c r="N4" s="1" t="n"/>
      <c r="O4" s="1" t="n"/>
      <c r="P4" s="1" t="n"/>
      <c r="Q4" s="1" t="n"/>
      <c r="R4" s="1" t="n"/>
    </row>
    <row r="5">
      <c r="A5" s="1" t="n"/>
      <c r="B5" s="8" t="inlineStr">
        <is>
          <t>Pay Frequency (periods/yr)</t>
        </is>
      </c>
      <c r="C5" s="9" t="n">
        <v>26</v>
      </c>
      <c r="D5" s="10" t="n"/>
      <c r="E5" s="10" t="n"/>
      <c r="F5" s="1" t="n"/>
      <c r="G5" s="1" t="n"/>
      <c r="H5" s="8" t="inlineStr">
        <is>
          <t>House Down Payment</t>
        </is>
      </c>
      <c r="I5" s="5" t="n">
        <v>60000</v>
      </c>
      <c r="J5" s="5" t="n">
        <v>5000</v>
      </c>
      <c r="K5" s="11">
        <f>IF(I5=0,0,J5/I5)</f>
        <v/>
      </c>
      <c r="L5" s="12">
        <f>IF(C23=0,"N/A",IF(J5&gt;=I5,"Done",(I5-J5)/C23))</f>
        <v/>
      </c>
      <c r="M5" s="1" t="n"/>
      <c r="N5" s="1" t="n"/>
      <c r="O5" s="1" t="n"/>
      <c r="P5" s="1" t="n"/>
      <c r="Q5" s="1" t="n"/>
      <c r="R5" s="1" t="n"/>
    </row>
    <row r="6">
      <c r="A6" s="1" t="n"/>
      <c r="B6" s="4" t="inlineStr">
        <is>
          <t>Savings per Paycheck</t>
        </is>
      </c>
      <c r="C6" s="5" t="n">
        <v>700</v>
      </c>
      <c r="D6" s="6" t="n"/>
      <c r="E6" s="6" t="n"/>
      <c r="F6" s="1" t="n"/>
      <c r="G6" s="1" t="n"/>
      <c r="H6" s="4" t="inlineStr">
        <is>
          <t>Car Fund</t>
        </is>
      </c>
      <c r="I6" s="5" t="n">
        <v>15000</v>
      </c>
      <c r="J6" s="5" t="n">
        <v>2000</v>
      </c>
      <c r="K6" s="11">
        <f>IF(I6=0,0,J6/I6)</f>
        <v/>
      </c>
      <c r="L6" s="12">
        <f>IF(C24=0,"N/A",IF(J6&gt;=I6,"Done",(I6-J6)/C24))</f>
        <v/>
      </c>
      <c r="M6" s="1" t="n"/>
      <c r="N6" s="1" t="n"/>
      <c r="O6" s="1" t="n"/>
      <c r="P6" s="1" t="n"/>
      <c r="Q6" s="1" t="n"/>
      <c r="R6" s="1" t="n"/>
    </row>
    <row r="7">
      <c r="A7" s="1" t="n"/>
      <c r="B7" s="8" t="inlineStr">
        <is>
          <t>Tulsa Remote Grant (annual)</t>
        </is>
      </c>
      <c r="C7" s="5" t="n">
        <v>10000</v>
      </c>
      <c r="D7" s="10" t="n"/>
      <c r="E7" s="10" t="n"/>
      <c r="F7" s="1" t="n"/>
      <c r="G7" s="1" t="n"/>
      <c r="H7" s="8" t="inlineStr">
        <is>
          <t>Travel Fund</t>
        </is>
      </c>
      <c r="I7" s="5" t="n">
        <v>5000</v>
      </c>
      <c r="J7" s="5" t="n">
        <v>800</v>
      </c>
      <c r="K7" s="11">
        <f>IF(I7=0,0,J7/I7)</f>
        <v/>
      </c>
      <c r="L7" s="12">
        <f>IF(C25=0,"N/A",IF(J7&gt;=I7,"Done",(I7-J7)/C25))</f>
        <v/>
      </c>
      <c r="M7" s="1" t="n"/>
      <c r="N7" s="1" t="n"/>
      <c r="O7" s="1" t="n"/>
      <c r="P7" s="1" t="n"/>
      <c r="Q7" s="1" t="n"/>
      <c r="R7" s="1" t="n"/>
    </row>
    <row r="8">
      <c r="A8" s="1" t="n"/>
      <c r="B8" s="4" t="inlineStr">
        <is>
          <t>OK State Tax Rate</t>
        </is>
      </c>
      <c r="C8" s="13" t="n">
        <v>0.0475</v>
      </c>
      <c r="D8" s="6" t="n"/>
      <c r="E8" s="6" t="n"/>
      <c r="F8" s="1" t="n"/>
      <c r="G8" s="1" t="n"/>
      <c r="H8" s="4" t="inlineStr">
        <is>
          <t>Emergency Fund</t>
        </is>
      </c>
      <c r="I8" s="5" t="n">
        <v>10000</v>
      </c>
      <c r="J8" s="5" t="n">
        <v>3000</v>
      </c>
      <c r="K8" s="11">
        <f>IF(I8=0,0,J8/I8)</f>
        <v/>
      </c>
      <c r="L8" s="12">
        <f>IF(C26=0,"N/A",IF(J8&gt;=I8,"Done",(I8-J8)/C26))</f>
        <v/>
      </c>
      <c r="M8" s="1" t="n"/>
      <c r="N8" s="1" t="n"/>
      <c r="O8" s="1" t="n"/>
      <c r="P8" s="1" t="n"/>
      <c r="Q8" s="1" t="n"/>
      <c r="R8" s="1" t="n"/>
    </row>
    <row r="9">
      <c r="A9" s="1" t="n"/>
      <c r="B9" s="8" t="inlineStr">
        <is>
          <t>Federal Effective Tax Rate</t>
        </is>
      </c>
      <c r="C9" s="13" t="n">
        <v>0.18</v>
      </c>
      <c r="D9" s="10" t="n"/>
      <c r="E9" s="10" t="n"/>
      <c r="F9" s="1" t="n"/>
      <c r="G9" s="1" t="n"/>
      <c r="H9" s="8" t="inlineStr">
        <is>
          <t>General Savings</t>
        </is>
      </c>
      <c r="I9" s="5" t="n">
        <v>5000</v>
      </c>
      <c r="J9" s="5" t="n">
        <v>500</v>
      </c>
      <c r="K9" s="11">
        <f>IF(I9=0,0,J9/I9)</f>
        <v/>
      </c>
      <c r="L9" s="12">
        <f>IF(C27=0,"N/A",IF(J9&gt;=I9,"Done",(I9-J9)/C27))</f>
        <v/>
      </c>
      <c r="M9" s="1" t="n"/>
      <c r="N9" s="1" t="n"/>
      <c r="O9" s="1" t="n"/>
      <c r="P9" s="1" t="n"/>
      <c r="Q9" s="1" t="n"/>
      <c r="R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</row>
    <row r="11">
      <c r="A11" s="1" t="n"/>
      <c r="B11" s="3" t="inlineStr">
        <is>
          <t>INCOME SUMMARY (MONTHLY)</t>
        </is>
      </c>
      <c r="C11" s="3" t="n"/>
      <c r="D11" s="3" t="n"/>
      <c r="E11" s="3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1" t="n"/>
      <c r="B12" s="4" t="inlineStr">
        <is>
          <t>Gross Monthly Income</t>
        </is>
      </c>
      <c r="C12" s="14">
        <f>C4/12</f>
        <v/>
      </c>
      <c r="D12" s="6" t="n"/>
      <c r="E12" s="6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n"/>
      <c r="B13" s="8" t="inlineStr">
        <is>
          <t>Federal Tax</t>
        </is>
      </c>
      <c r="C13" s="14">
        <f>-(C4*C9)/12</f>
        <v/>
      </c>
      <c r="D13" s="10" t="n"/>
      <c r="E13" s="10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1" t="n"/>
      <c r="B14" s="4" t="inlineStr">
        <is>
          <t>State Tax</t>
        </is>
      </c>
      <c r="C14" s="14">
        <f>-(C4*C8)/12</f>
        <v/>
      </c>
      <c r="D14" s="6" t="n"/>
      <c r="E14" s="6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8" t="inlineStr">
        <is>
          <t>Total Deductions</t>
        </is>
      </c>
      <c r="C15" s="14">
        <f>C13+C14</f>
        <v/>
      </c>
      <c r="D15" s="10" t="n"/>
      <c r="E15" s="10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4" t="inlineStr">
        <is>
          <t>Net Monthly Take-Home</t>
        </is>
      </c>
      <c r="C16" s="15">
        <f>C12+C15</f>
        <v/>
      </c>
      <c r="D16" s="6" t="n"/>
      <c r="E16" s="6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8" t="inlineStr">
        <is>
          <t>Tulsa Remote Grant (monthly)</t>
        </is>
      </c>
      <c r="C17" s="14">
        <f>C7/12</f>
        <v/>
      </c>
      <c r="D17" s="10" t="n"/>
      <c r="E17" s="10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4" t="inlineStr">
        <is>
          <t>Net + Grant</t>
        </is>
      </c>
      <c r="C18" s="15">
        <f>C16+C17</f>
        <v/>
      </c>
      <c r="D18" s="6" t="n"/>
      <c r="E18" s="6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3" t="inlineStr">
        <is>
          <t>MONTHLY SAVINGS ALLOCATION</t>
        </is>
      </c>
      <c r="C21" s="3" t="n"/>
      <c r="D21" s="3" t="n"/>
      <c r="E21" s="3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7" t="inlineStr">
        <is>
          <t>Category</t>
        </is>
      </c>
      <c r="C22" s="7" t="inlineStr">
        <is>
          <t>Monthly</t>
        </is>
      </c>
      <c r="D22" s="7" t="inlineStr">
        <is>
          <t>Annual</t>
        </is>
      </c>
      <c r="E22" s="7" t="inlineStr">
        <is>
          <t>% of Income</t>
        </is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8" t="inlineStr">
        <is>
          <t>House Down Payment</t>
        </is>
      </c>
      <c r="C23" s="5" t="n">
        <v>1200</v>
      </c>
      <c r="D23" s="14">
        <f>C23*12</f>
        <v/>
      </c>
      <c r="E23" s="16">
        <f>C23/C16</f>
        <v/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4" t="inlineStr">
        <is>
          <t>Car Fund</t>
        </is>
      </c>
      <c r="C24" s="5" t="n">
        <v>150</v>
      </c>
      <c r="D24" s="14">
        <f>C24*12</f>
        <v/>
      </c>
      <c r="E24" s="16">
        <f>C24/C16</f>
        <v/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8" t="inlineStr">
        <is>
          <t>Travel Fund</t>
        </is>
      </c>
      <c r="C25" s="5" t="n">
        <v>200</v>
      </c>
      <c r="D25" s="14">
        <f>C25*12</f>
        <v/>
      </c>
      <c r="E25" s="16">
        <f>C25/C16</f>
        <v/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4" t="inlineStr">
        <is>
          <t>Emergency Fund</t>
        </is>
      </c>
      <c r="C26" s="5" t="n">
        <v>300</v>
      </c>
      <c r="D26" s="14">
        <f>C26*12</f>
        <v/>
      </c>
      <c r="E26" s="16">
        <f>C26/C16</f>
        <v/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8" t="inlineStr">
        <is>
          <t>General Savings</t>
        </is>
      </c>
      <c r="C27" s="5" t="n">
        <v>100</v>
      </c>
      <c r="D27" s="14">
        <f>C27*12</f>
        <v/>
      </c>
      <c r="E27" s="16">
        <f>C27/C16</f>
        <v/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7" t="inlineStr">
        <is>
          <t>TOTAL SAVINGS</t>
        </is>
      </c>
      <c r="C28" s="15">
        <f>SUM(C23:C27)</f>
        <v/>
      </c>
      <c r="D28" s="15">
        <f>SUM(D23:D27)</f>
        <v/>
      </c>
      <c r="E28" s="18">
        <f>C28/C16</f>
        <v/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7" t="inlineStr">
        <is>
          <t>REMAINING FOR LIVING EXPENSES</t>
        </is>
      </c>
      <c r="C30" s="19">
        <f>C18-C28</f>
        <v/>
      </c>
      <c r="D30" s="10" t="n"/>
      <c r="E30" s="10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L7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1" t="n"/>
      <c r="B1" s="2" t="inlineStr">
        <is>
          <t>Monthly Budget</t>
        </is>
      </c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20" t="inlineStr">
        <is>
          <t>Month:</t>
        </is>
      </c>
      <c r="C3" s="21" t="inlineStr">
        <is>
          <t>January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1" t="n"/>
      <c r="B5" s="7" t="inlineStr">
        <is>
          <t>Category</t>
        </is>
      </c>
      <c r="C5" s="7" t="inlineStr">
        <is>
          <t>Budgeted</t>
        </is>
      </c>
      <c r="D5" s="7" t="inlineStr">
        <is>
          <t>Actual</t>
        </is>
      </c>
      <c r="E5" s="7" t="inlineStr">
        <is>
          <t>Difference</t>
        </is>
      </c>
      <c r="F5" s="7" t="inlineStr">
        <is>
          <t>% Used</t>
        </is>
      </c>
      <c r="G5" s="1" t="n"/>
      <c r="H5" s="1" t="n"/>
      <c r="I5" s="1" t="n"/>
      <c r="J5" s="1" t="n"/>
      <c r="K5" s="1" t="n"/>
      <c r="L5" s="1" t="n"/>
    </row>
    <row r="6">
      <c r="A6" s="1" t="n"/>
      <c r="B6" s="3" t="inlineStr">
        <is>
          <t>HOUSING &amp; UTILITIES</t>
        </is>
      </c>
      <c r="C6" s="3" t="n"/>
      <c r="D6" s="3" t="n"/>
      <c r="E6" s="3" t="n"/>
      <c r="F6" s="3" t="n"/>
      <c r="G6" s="1" t="n"/>
      <c r="H6" s="1" t="n"/>
      <c r="I6" s="1" t="n"/>
      <c r="J6" s="1" t="n"/>
      <c r="K6" s="1" t="n"/>
      <c r="L6" s="1" t="n"/>
    </row>
    <row r="7">
      <c r="A7" s="1" t="n"/>
      <c r="B7" s="8" t="inlineStr">
        <is>
          <t>Rent / Mortgage</t>
        </is>
      </c>
      <c r="C7" s="5" t="n">
        <v>900</v>
      </c>
      <c r="D7" s="5" t="n">
        <v>0</v>
      </c>
      <c r="E7" s="22">
        <f>C7-D7</f>
        <v/>
      </c>
      <c r="F7" s="16">
        <f>IF(C7=0,0,D7/C7)</f>
        <v/>
      </c>
      <c r="G7" s="1" t="n"/>
      <c r="H7" s="1" t="n"/>
      <c r="I7" s="1" t="n"/>
      <c r="J7" s="1" t="n"/>
      <c r="K7" s="1" t="n"/>
      <c r="L7" s="1" t="n"/>
    </row>
    <row r="8">
      <c r="A8" s="1" t="n"/>
      <c r="B8" s="4" t="inlineStr">
        <is>
          <t>Electric</t>
        </is>
      </c>
      <c r="C8" s="5" t="n">
        <v>80</v>
      </c>
      <c r="D8" s="5" t="n">
        <v>0</v>
      </c>
      <c r="E8" s="22">
        <f>C8-D8</f>
        <v/>
      </c>
      <c r="F8" s="16">
        <f>IF(C8=0,0,D8/C8)</f>
        <v/>
      </c>
      <c r="G8" s="1" t="n"/>
      <c r="H8" s="1" t="n"/>
      <c r="I8" s="1" t="n"/>
      <c r="J8" s="1" t="n"/>
      <c r="K8" s="1" t="n"/>
      <c r="L8" s="1" t="n"/>
    </row>
    <row r="9">
      <c r="A9" s="1" t="n"/>
      <c r="B9" s="8" t="inlineStr">
        <is>
          <t>Water / Trash</t>
        </is>
      </c>
      <c r="C9" s="5" t="n">
        <v>40</v>
      </c>
      <c r="D9" s="5" t="n">
        <v>0</v>
      </c>
      <c r="E9" s="22">
        <f>C9-D9</f>
        <v/>
      </c>
      <c r="F9" s="16">
        <f>IF(C9=0,0,D9/C9)</f>
        <v/>
      </c>
      <c r="G9" s="1" t="n"/>
      <c r="H9" s="1" t="n"/>
      <c r="I9" s="1" t="n"/>
      <c r="J9" s="1" t="n"/>
      <c r="K9" s="1" t="n"/>
      <c r="L9" s="1" t="n"/>
    </row>
    <row r="10">
      <c r="A10" s="1" t="n"/>
      <c r="B10" s="4" t="inlineStr">
        <is>
          <t>Internet</t>
        </is>
      </c>
      <c r="C10" s="5" t="n">
        <v>60</v>
      </c>
      <c r="D10" s="5" t="n">
        <v>0</v>
      </c>
      <c r="E10" s="22">
        <f>C10-D10</f>
        <v/>
      </c>
      <c r="F10" s="16">
        <f>IF(C10=0,0,D10/C10)</f>
        <v/>
      </c>
      <c r="G10" s="1" t="n"/>
      <c r="H10" s="1" t="n"/>
      <c r="I10" s="1" t="n"/>
      <c r="J10" s="1" t="n"/>
      <c r="K10" s="1" t="n"/>
      <c r="L10" s="1" t="n"/>
    </row>
    <row r="11">
      <c r="A11" s="1" t="n"/>
      <c r="B11" s="8" t="inlineStr">
        <is>
          <t>Renter's Insurance</t>
        </is>
      </c>
      <c r="C11" s="5" t="n">
        <v>15</v>
      </c>
      <c r="D11" s="5" t="n">
        <v>0</v>
      </c>
      <c r="E11" s="22">
        <f>C11-D11</f>
        <v/>
      </c>
      <c r="F11" s="16">
        <f>IF(C11=0,0,D11/C11)</f>
        <v/>
      </c>
      <c r="G11" s="1" t="n"/>
      <c r="H11" s="1" t="n"/>
      <c r="I11" s="1" t="n"/>
      <c r="J11" s="1" t="n"/>
      <c r="K11" s="1" t="n"/>
      <c r="L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n"/>
      <c r="B13" s="3" t="inlineStr">
        <is>
          <t>FOOD</t>
        </is>
      </c>
      <c r="C13" s="3" t="n"/>
      <c r="D13" s="3" t="n"/>
      <c r="E13" s="3" t="n"/>
      <c r="F13" s="3" t="n"/>
      <c r="G13" s="1" t="n"/>
      <c r="H13" s="1" t="n"/>
      <c r="I13" s="1" t="n"/>
      <c r="J13" s="1" t="n"/>
      <c r="K13" s="1" t="n"/>
      <c r="L13" s="1" t="n"/>
    </row>
    <row r="14">
      <c r="A14" s="1" t="n"/>
      <c r="B14" s="4" t="inlineStr">
        <is>
          <t>Groceries</t>
        </is>
      </c>
      <c r="C14" s="5" t="n">
        <v>300</v>
      </c>
      <c r="D14" s="5" t="n">
        <v>0</v>
      </c>
      <c r="E14" s="22">
        <f>C14-D14</f>
        <v/>
      </c>
      <c r="F14" s="16">
        <f>IF(C14=0,0,D14/C14)</f>
        <v/>
      </c>
      <c r="G14" s="1" t="n"/>
      <c r="H14" s="1" t="n"/>
      <c r="I14" s="1" t="n"/>
      <c r="J14" s="1" t="n"/>
      <c r="K14" s="1" t="n"/>
      <c r="L14" s="1" t="n"/>
    </row>
    <row r="15">
      <c r="A15" s="1" t="n"/>
      <c r="B15" s="8" t="inlineStr">
        <is>
          <t>Dining Out</t>
        </is>
      </c>
      <c r="C15" s="5" t="n">
        <v>100</v>
      </c>
      <c r="D15" s="5" t="n">
        <v>0</v>
      </c>
      <c r="E15" s="22">
        <f>C15-D15</f>
        <v/>
      </c>
      <c r="F15" s="16">
        <f>IF(C15=0,0,D15/C15)</f>
        <v/>
      </c>
      <c r="G15" s="1" t="n"/>
      <c r="H15" s="1" t="n"/>
      <c r="I15" s="1" t="n"/>
      <c r="J15" s="1" t="n"/>
      <c r="K15" s="1" t="n"/>
      <c r="L15" s="1" t="n"/>
    </row>
    <row r="16">
      <c r="A16" s="1" t="n"/>
      <c r="B16" s="4" t="inlineStr">
        <is>
          <t>Coffee / Snacks</t>
        </is>
      </c>
      <c r="C16" s="5" t="n">
        <v>30</v>
      </c>
      <c r="D16" s="5" t="n">
        <v>0</v>
      </c>
      <c r="E16" s="22">
        <f>C16-D16</f>
        <v/>
      </c>
      <c r="F16" s="16">
        <f>IF(C16=0,0,D16/C16)</f>
        <v/>
      </c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3" t="inlineStr">
        <is>
          <t>TRANSPORTATION</t>
        </is>
      </c>
      <c r="C18" s="3" t="n"/>
      <c r="D18" s="3" t="n"/>
      <c r="E18" s="3" t="n"/>
      <c r="F18" s="3" t="n"/>
      <c r="G18" s="1" t="n"/>
      <c r="H18" s="1" t="n"/>
      <c r="I18" s="1" t="n"/>
      <c r="J18" s="1" t="n"/>
      <c r="K18" s="1" t="n"/>
      <c r="L18" s="1" t="n"/>
    </row>
    <row r="19">
      <c r="A19" s="1" t="n"/>
      <c r="B19" s="8" t="inlineStr">
        <is>
          <t>Gas</t>
        </is>
      </c>
      <c r="C19" s="5" t="n">
        <v>80</v>
      </c>
      <c r="D19" s="5" t="n">
        <v>0</v>
      </c>
      <c r="E19" s="22">
        <f>C19-D19</f>
        <v/>
      </c>
      <c r="F19" s="16">
        <f>IF(C19=0,0,D19/C19)</f>
        <v/>
      </c>
      <c r="G19" s="1" t="n"/>
      <c r="H19" s="1" t="n"/>
      <c r="I19" s="1" t="n"/>
      <c r="J19" s="1" t="n"/>
      <c r="K19" s="1" t="n"/>
      <c r="L19" s="1" t="n"/>
    </row>
    <row r="20">
      <c r="A20" s="1" t="n"/>
      <c r="B20" s="4" t="inlineStr">
        <is>
          <t>Car Insurance</t>
        </is>
      </c>
      <c r="C20" s="5" t="n">
        <v>120</v>
      </c>
      <c r="D20" s="5" t="n">
        <v>0</v>
      </c>
      <c r="E20" s="22">
        <f>C20-D20</f>
        <v/>
      </c>
      <c r="F20" s="16">
        <f>IF(C20=0,0,D20/C20)</f>
        <v/>
      </c>
      <c r="G20" s="1" t="n"/>
      <c r="H20" s="1" t="n"/>
      <c r="I20" s="1" t="n"/>
      <c r="J20" s="1" t="n"/>
      <c r="K20" s="1" t="n"/>
      <c r="L20" s="1" t="n"/>
    </row>
    <row r="21">
      <c r="A21" s="1" t="n"/>
      <c r="B21" s="8" t="inlineStr">
        <is>
          <t>Car Maintenance</t>
        </is>
      </c>
      <c r="C21" s="5" t="n">
        <v>50</v>
      </c>
      <c r="D21" s="5" t="n">
        <v>0</v>
      </c>
      <c r="E21" s="22">
        <f>C21-D21</f>
        <v/>
      </c>
      <c r="F21" s="16">
        <f>IF(C21=0,0,D21/C21)</f>
        <v/>
      </c>
      <c r="G21" s="1" t="n"/>
      <c r="H21" s="1" t="n"/>
      <c r="I21" s="1" t="n"/>
      <c r="J21" s="1" t="n"/>
      <c r="K21" s="1" t="n"/>
      <c r="L21" s="1" t="n"/>
    </row>
    <row r="22">
      <c r="A22" s="1" t="n"/>
      <c r="B22" s="4" t="inlineStr">
        <is>
          <t>Parking / Tolls</t>
        </is>
      </c>
      <c r="C22" s="5" t="n">
        <v>15</v>
      </c>
      <c r="D22" s="5" t="n">
        <v>0</v>
      </c>
      <c r="E22" s="22">
        <f>C22-D22</f>
        <v/>
      </c>
      <c r="F22" s="16">
        <f>IF(C22=0,0,D22/C22)</f>
        <v/>
      </c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3" t="inlineStr">
        <is>
          <t>SUBSCRIPTIONS &amp; TECH</t>
        </is>
      </c>
      <c r="C24" s="3" t="n"/>
      <c r="D24" s="3" t="n"/>
      <c r="E24" s="3" t="n"/>
      <c r="F24" s="3" t="n"/>
      <c r="G24" s="1" t="n"/>
      <c r="H24" s="1" t="n"/>
      <c r="I24" s="1" t="n"/>
      <c r="J24" s="1" t="n"/>
      <c r="K24" s="1" t="n"/>
      <c r="L24" s="1" t="n"/>
    </row>
    <row r="25">
      <c r="A25" s="1" t="n"/>
      <c r="B25" s="8" t="inlineStr">
        <is>
          <t>Phone Plan</t>
        </is>
      </c>
      <c r="C25" s="5" t="n">
        <v>50</v>
      </c>
      <c r="D25" s="5" t="n">
        <v>0</v>
      </c>
      <c r="E25" s="22">
        <f>C25-D25</f>
        <v/>
      </c>
      <c r="F25" s="16">
        <f>IF(C25=0,0,D25/C25)</f>
        <v/>
      </c>
      <c r="G25" s="1" t="n"/>
      <c r="H25" s="1" t="n"/>
      <c r="I25" s="1" t="n"/>
      <c r="J25" s="1" t="n"/>
      <c r="K25" s="1" t="n"/>
      <c r="L25" s="1" t="n"/>
    </row>
    <row r="26">
      <c r="A26" s="1" t="n"/>
      <c r="B26" s="4" t="inlineStr">
        <is>
          <t>Streaming Services</t>
        </is>
      </c>
      <c r="C26" s="5" t="n">
        <v>30</v>
      </c>
      <c r="D26" s="5" t="n">
        <v>0</v>
      </c>
      <c r="E26" s="22">
        <f>C26-D26</f>
        <v/>
      </c>
      <c r="F26" s="16">
        <f>IF(C26=0,0,D26/C26)</f>
        <v/>
      </c>
      <c r="G26" s="1" t="n"/>
      <c r="H26" s="1" t="n"/>
      <c r="I26" s="1" t="n"/>
      <c r="J26" s="1" t="n"/>
      <c r="K26" s="1" t="n"/>
      <c r="L26" s="1" t="n"/>
    </row>
    <row r="27">
      <c r="A27" s="1" t="n"/>
      <c r="B27" s="8" t="inlineStr">
        <is>
          <t>Software / Apps</t>
        </is>
      </c>
      <c r="C27" s="5" t="n">
        <v>15</v>
      </c>
      <c r="D27" s="5" t="n">
        <v>0</v>
      </c>
      <c r="E27" s="22">
        <f>C27-D27</f>
        <v/>
      </c>
      <c r="F27" s="16">
        <f>IF(C27=0,0,D27/C27)</f>
        <v/>
      </c>
      <c r="G27" s="1" t="n"/>
      <c r="H27" s="1" t="n"/>
      <c r="I27" s="1" t="n"/>
      <c r="J27" s="1" t="n"/>
      <c r="K27" s="1" t="n"/>
      <c r="L27" s="1" t="n"/>
    </row>
    <row r="28">
      <c r="A28" s="1" t="n"/>
      <c r="B28" s="4" t="inlineStr">
        <is>
          <t>Cloud Storage</t>
        </is>
      </c>
      <c r="C28" s="5" t="n">
        <v>5</v>
      </c>
      <c r="D28" s="5" t="n">
        <v>0</v>
      </c>
      <c r="E28" s="22">
        <f>C28-D28</f>
        <v/>
      </c>
      <c r="F28" s="16">
        <f>IF(C28=0,0,D28/C28)</f>
        <v/>
      </c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3" t="inlineStr">
        <is>
          <t>PERSONAL CARE</t>
        </is>
      </c>
      <c r="C30" s="3" t="n"/>
      <c r="D30" s="3" t="n"/>
      <c r="E30" s="3" t="n"/>
      <c r="F30" s="3" t="n"/>
      <c r="G30" s="1" t="n"/>
      <c r="H30" s="1" t="n"/>
      <c r="I30" s="1" t="n"/>
      <c r="J30" s="1" t="n"/>
      <c r="K30" s="1" t="n"/>
      <c r="L30" s="1" t="n"/>
    </row>
    <row r="31">
      <c r="A31" s="1" t="n"/>
      <c r="B31" s="8" t="inlineStr">
        <is>
          <t>Health Insurance (if any)</t>
        </is>
      </c>
      <c r="C31" s="5" t="n">
        <v>0</v>
      </c>
      <c r="D31" s="5" t="n">
        <v>0</v>
      </c>
      <c r="E31" s="22">
        <f>C31-D31</f>
        <v/>
      </c>
      <c r="F31" s="16">
        <f>IF(C31=0,0,D31/C31)</f>
        <v/>
      </c>
      <c r="G31" s="1" t="n"/>
      <c r="H31" s="1" t="n"/>
      <c r="I31" s="1" t="n"/>
      <c r="J31" s="1" t="n"/>
      <c r="K31" s="1" t="n"/>
      <c r="L31" s="1" t="n"/>
    </row>
    <row r="32">
      <c r="A32" s="1" t="n"/>
      <c r="B32" s="4" t="inlineStr">
        <is>
          <t>Gym / Fitness</t>
        </is>
      </c>
      <c r="C32" s="5" t="n">
        <v>35</v>
      </c>
      <c r="D32" s="5" t="n">
        <v>0</v>
      </c>
      <c r="E32" s="22">
        <f>C32-D32</f>
        <v/>
      </c>
      <c r="F32" s="16">
        <f>IF(C32=0,0,D32/C32)</f>
        <v/>
      </c>
      <c r="G32" s="1" t="n"/>
      <c r="H32" s="1" t="n"/>
      <c r="I32" s="1" t="n"/>
      <c r="J32" s="1" t="n"/>
      <c r="K32" s="1" t="n"/>
      <c r="L32" s="1" t="n"/>
    </row>
    <row r="33">
      <c r="A33" s="1" t="n"/>
      <c r="B33" s="8" t="inlineStr">
        <is>
          <t>Haircuts / Grooming</t>
        </is>
      </c>
      <c r="C33" s="5" t="n">
        <v>25</v>
      </c>
      <c r="D33" s="5" t="n">
        <v>0</v>
      </c>
      <c r="E33" s="22">
        <f>C33-D33</f>
        <v/>
      </c>
      <c r="F33" s="16">
        <f>IF(C33=0,0,D33/C33)</f>
        <v/>
      </c>
      <c r="G33" s="1" t="n"/>
      <c r="H33" s="1" t="n"/>
      <c r="I33" s="1" t="n"/>
      <c r="J33" s="1" t="n"/>
      <c r="K33" s="1" t="n"/>
      <c r="L33" s="1" t="n"/>
    </row>
    <row r="34">
      <c r="A34" s="1" t="n"/>
      <c r="B34" s="4" t="inlineStr">
        <is>
          <t>Medical / Dental</t>
        </is>
      </c>
      <c r="C34" s="5" t="n">
        <v>30</v>
      </c>
      <c r="D34" s="5" t="n">
        <v>0</v>
      </c>
      <c r="E34" s="22">
        <f>C34-D34</f>
        <v/>
      </c>
      <c r="F34" s="16">
        <f>IF(C34=0,0,D34/C34)</f>
        <v/>
      </c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3" t="inlineStr">
        <is>
          <t>ENTERTAINMENT &amp; FUN</t>
        </is>
      </c>
      <c r="C36" s="3" t="n"/>
      <c r="D36" s="3" t="n"/>
      <c r="E36" s="3" t="n"/>
      <c r="F36" s="3" t="n"/>
      <c r="G36" s="1" t="n"/>
      <c r="H36" s="1" t="n"/>
      <c r="I36" s="1" t="n"/>
      <c r="J36" s="1" t="n"/>
      <c r="K36" s="1" t="n"/>
      <c r="L36" s="1" t="n"/>
    </row>
    <row r="37">
      <c r="A37" s="1" t="n"/>
      <c r="B37" s="8" t="inlineStr">
        <is>
          <t>Activities / Events</t>
        </is>
      </c>
      <c r="C37" s="5" t="n">
        <v>50</v>
      </c>
      <c r="D37" s="5" t="n">
        <v>0</v>
      </c>
      <c r="E37" s="22">
        <f>C37-D37</f>
        <v/>
      </c>
      <c r="F37" s="16">
        <f>IF(C37=0,0,D37/C37)</f>
        <v/>
      </c>
      <c r="G37" s="1" t="n"/>
      <c r="H37" s="1" t="n"/>
      <c r="I37" s="1" t="n"/>
      <c r="J37" s="1" t="n"/>
      <c r="K37" s="1" t="n"/>
      <c r="L37" s="1" t="n"/>
    </row>
    <row r="38">
      <c r="A38" s="1" t="n"/>
      <c r="B38" s="4" t="inlineStr">
        <is>
          <t>Hobbies</t>
        </is>
      </c>
      <c r="C38" s="5" t="n">
        <v>30</v>
      </c>
      <c r="D38" s="5" t="n">
        <v>0</v>
      </c>
      <c r="E38" s="22">
        <f>C38-D38</f>
        <v/>
      </c>
      <c r="F38" s="16">
        <f>IF(C38=0,0,D38/C38)</f>
        <v/>
      </c>
      <c r="G38" s="1" t="n"/>
      <c r="H38" s="1" t="n"/>
      <c r="I38" s="1" t="n"/>
      <c r="J38" s="1" t="n"/>
      <c r="K38" s="1" t="n"/>
      <c r="L38" s="1" t="n"/>
    </row>
    <row r="39">
      <c r="A39" s="1" t="n"/>
      <c r="B39" s="8" t="inlineStr">
        <is>
          <t>Gifts</t>
        </is>
      </c>
      <c r="C39" s="5" t="n">
        <v>25</v>
      </c>
      <c r="D39" s="5" t="n">
        <v>0</v>
      </c>
      <c r="E39" s="22">
        <f>C39-D39</f>
        <v/>
      </c>
      <c r="F39" s="16">
        <f>IF(C39=0,0,D39/C39)</f>
        <v/>
      </c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3" t="inlineStr">
        <is>
          <t>TRAVEL</t>
        </is>
      </c>
      <c r="C41" s="3" t="n"/>
      <c r="D41" s="3" t="n"/>
      <c r="E41" s="3" t="n"/>
      <c r="F41" s="3" t="n"/>
      <c r="G41" s="1" t="n"/>
      <c r="H41" s="1" t="n"/>
      <c r="I41" s="1" t="n"/>
      <c r="J41" s="1" t="n"/>
      <c r="K41" s="1" t="n"/>
      <c r="L41" s="1" t="n"/>
    </row>
    <row r="42">
      <c r="A42" s="1" t="n"/>
      <c r="B42" s="4" t="inlineStr">
        <is>
          <t>Travel Fund Spending</t>
        </is>
      </c>
      <c r="C42" s="5" t="n">
        <v>0</v>
      </c>
      <c r="D42" s="5" t="n">
        <v>0</v>
      </c>
      <c r="E42" s="22">
        <f>C42-D42</f>
        <v/>
      </c>
      <c r="F42" s="16">
        <f>IF(C42=0,0,D42/C42)</f>
        <v/>
      </c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23" t="inlineStr">
        <is>
          <t>TOTALS</t>
        </is>
      </c>
      <c r="C44" s="23" t="n"/>
      <c r="D44" s="23" t="n"/>
      <c r="E44" s="23" t="n"/>
      <c r="F44" s="23" t="n"/>
      <c r="G44" s="1" t="n"/>
      <c r="H44" s="1" t="n"/>
      <c r="I44" s="1" t="n"/>
      <c r="J44" s="1" t="n"/>
      <c r="K44" s="1" t="n"/>
      <c r="L44" s="1" t="n"/>
    </row>
    <row r="45">
      <c r="A45" s="1" t="n"/>
      <c r="B45" s="17" t="inlineStr">
        <is>
          <t>GRAND TOTAL</t>
        </is>
      </c>
      <c r="C45" s="15">
        <f>SUM(C7:C42)</f>
        <v/>
      </c>
      <c r="D45" s="15">
        <f>SUM(D7:D42)</f>
        <v/>
      </c>
      <c r="E45" s="24">
        <f>C45-D45</f>
        <v/>
      </c>
      <c r="F45" s="18">
        <f>IF(C45=0,0,D45/C45)</f>
        <v/>
      </c>
      <c r="G45" s="1" t="n"/>
      <c r="H45" s="1" t="n"/>
      <c r="I45" s="1" t="n"/>
      <c r="J45" s="1" t="n"/>
      <c r="K45" s="1" t="n"/>
      <c r="L45" s="1" t="n"/>
    </row>
    <row r="46">
      <c r="A46" s="1" t="n"/>
      <c r="B46" s="17" t="inlineStr">
        <is>
          <t>NET MONTHLY INCOME (from Dashboard)</t>
        </is>
      </c>
      <c r="C46" s="25">
        <f>'Dashboard'!C18</f>
        <v/>
      </c>
      <c r="D46" s="10" t="n"/>
      <c r="E46" s="10" t="n"/>
      <c r="F46" s="10" t="n"/>
      <c r="G46" s="1" t="n"/>
      <c r="H46" s="1" t="n"/>
      <c r="I46" s="1" t="n"/>
      <c r="J46" s="1" t="n"/>
      <c r="K46" s="1" t="n"/>
      <c r="L46" s="1" t="n"/>
    </row>
    <row r="47">
      <c r="A47" s="1" t="n"/>
      <c r="B47" s="17" t="inlineStr">
        <is>
          <t>REMAINING AFTER EXPENSES</t>
        </is>
      </c>
      <c r="C47" s="19">
        <f>C46-D45</f>
        <v/>
      </c>
      <c r="D47" s="10" t="n"/>
      <c r="E47" s="10" t="n"/>
      <c r="F47" s="10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</sheetData>
  <mergeCells count="1"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P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n"/>
      <c r="B1" s="2" t="inlineStr">
        <is>
          <t>12-Month Savings Projection</t>
        </is>
      </c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3" t="inlineStr">
        <is>
          <t>MONTHLY SAVINGS PROJECTION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1" t="n"/>
      <c r="P3" s="1" t="n"/>
    </row>
    <row r="4">
      <c r="A4" s="1" t="n"/>
      <c r="B4" s="26" t="inlineStr">
        <is>
          <t>Savings Bucket</t>
        </is>
      </c>
      <c r="C4" s="7" t="inlineStr">
        <is>
          <t>Jul</t>
        </is>
      </c>
      <c r="D4" s="7" t="inlineStr">
        <is>
          <t>Aug</t>
        </is>
      </c>
      <c r="E4" s="7" t="inlineStr">
        <is>
          <t>Sep</t>
        </is>
      </c>
      <c r="F4" s="7" t="inlineStr">
        <is>
          <t>Oct</t>
        </is>
      </c>
      <c r="G4" s="7" t="inlineStr">
        <is>
          <t>Nov</t>
        </is>
      </c>
      <c r="H4" s="7" t="inlineStr">
        <is>
          <t>Dec</t>
        </is>
      </c>
      <c r="I4" s="7" t="inlineStr">
        <is>
          <t>Jan</t>
        </is>
      </c>
      <c r="J4" s="7" t="inlineStr">
        <is>
          <t>Feb</t>
        </is>
      </c>
      <c r="K4" s="7" t="inlineStr">
        <is>
          <t>Mar</t>
        </is>
      </c>
      <c r="L4" s="7" t="inlineStr">
        <is>
          <t>Apr</t>
        </is>
      </c>
      <c r="M4" s="7" t="inlineStr">
        <is>
          <t>May</t>
        </is>
      </c>
      <c r="N4" s="7" t="inlineStr">
        <is>
          <t>Jun</t>
        </is>
      </c>
      <c r="O4" s="1" t="n"/>
      <c r="P4" s="1" t="n"/>
    </row>
    <row r="5">
      <c r="A5" s="1" t="n"/>
      <c r="B5" s="8" t="inlineStr">
        <is>
          <t>House Down Payment</t>
        </is>
      </c>
      <c r="C5" s="14">
        <f>'Dashboard'!C23</f>
        <v/>
      </c>
      <c r="D5" s="14">
        <f>'Dashboard'!C23</f>
        <v/>
      </c>
      <c r="E5" s="14">
        <f>'Dashboard'!C23</f>
        <v/>
      </c>
      <c r="F5" s="14">
        <f>'Dashboard'!C23</f>
        <v/>
      </c>
      <c r="G5" s="14">
        <f>'Dashboard'!C23</f>
        <v/>
      </c>
      <c r="H5" s="14">
        <f>'Dashboard'!C23</f>
        <v/>
      </c>
      <c r="I5" s="14">
        <f>'Dashboard'!C23</f>
        <v/>
      </c>
      <c r="J5" s="14">
        <f>'Dashboard'!C23</f>
        <v/>
      </c>
      <c r="K5" s="14">
        <f>'Dashboard'!C23</f>
        <v/>
      </c>
      <c r="L5" s="14">
        <f>'Dashboard'!C23</f>
        <v/>
      </c>
      <c r="M5" s="14">
        <f>'Dashboard'!C23</f>
        <v/>
      </c>
      <c r="N5" s="14">
        <f>'Dashboard'!C23</f>
        <v/>
      </c>
      <c r="O5" s="1" t="n"/>
      <c r="P5" s="1" t="n"/>
    </row>
    <row r="6">
      <c r="A6" s="1" t="n"/>
      <c r="B6" s="4" t="inlineStr">
        <is>
          <t>Car Fund</t>
        </is>
      </c>
      <c r="C6" s="14">
        <f>'Dashboard'!C24</f>
        <v/>
      </c>
      <c r="D6" s="14">
        <f>'Dashboard'!C24</f>
        <v/>
      </c>
      <c r="E6" s="14">
        <f>'Dashboard'!C24</f>
        <v/>
      </c>
      <c r="F6" s="14">
        <f>'Dashboard'!C24</f>
        <v/>
      </c>
      <c r="G6" s="14">
        <f>'Dashboard'!C24</f>
        <v/>
      </c>
      <c r="H6" s="14">
        <f>'Dashboard'!C24</f>
        <v/>
      </c>
      <c r="I6" s="14">
        <f>'Dashboard'!C24</f>
        <v/>
      </c>
      <c r="J6" s="14">
        <f>'Dashboard'!C24</f>
        <v/>
      </c>
      <c r="K6" s="14">
        <f>'Dashboard'!C24</f>
        <v/>
      </c>
      <c r="L6" s="14">
        <f>'Dashboard'!C24</f>
        <v/>
      </c>
      <c r="M6" s="14">
        <f>'Dashboard'!C24</f>
        <v/>
      </c>
      <c r="N6" s="14">
        <f>'Dashboard'!C24</f>
        <v/>
      </c>
      <c r="O6" s="1" t="n"/>
      <c r="P6" s="1" t="n"/>
    </row>
    <row r="7">
      <c r="A7" s="1" t="n"/>
      <c r="B7" s="8" t="inlineStr">
        <is>
          <t>Travel Fund</t>
        </is>
      </c>
      <c r="C7" s="14">
        <f>'Dashboard'!C25</f>
        <v/>
      </c>
      <c r="D7" s="14">
        <f>'Dashboard'!C25</f>
        <v/>
      </c>
      <c r="E7" s="14">
        <f>'Dashboard'!C25</f>
        <v/>
      </c>
      <c r="F7" s="14">
        <f>'Dashboard'!C25</f>
        <v/>
      </c>
      <c r="G7" s="14">
        <f>'Dashboard'!C25</f>
        <v/>
      </c>
      <c r="H7" s="14">
        <f>'Dashboard'!C25</f>
        <v/>
      </c>
      <c r="I7" s="14">
        <f>'Dashboard'!C25</f>
        <v/>
      </c>
      <c r="J7" s="14">
        <f>'Dashboard'!C25</f>
        <v/>
      </c>
      <c r="K7" s="14">
        <f>'Dashboard'!C25</f>
        <v/>
      </c>
      <c r="L7" s="14">
        <f>'Dashboard'!C25</f>
        <v/>
      </c>
      <c r="M7" s="14">
        <f>'Dashboard'!C25</f>
        <v/>
      </c>
      <c r="N7" s="14">
        <f>'Dashboard'!C25</f>
        <v/>
      </c>
      <c r="O7" s="1" t="n"/>
      <c r="P7" s="1" t="n"/>
    </row>
    <row r="8">
      <c r="A8" s="1" t="n"/>
      <c r="B8" s="4" t="inlineStr">
        <is>
          <t>Emergency Fund</t>
        </is>
      </c>
      <c r="C8" s="14">
        <f>'Dashboard'!C26</f>
        <v/>
      </c>
      <c r="D8" s="14">
        <f>'Dashboard'!C26</f>
        <v/>
      </c>
      <c r="E8" s="14">
        <f>'Dashboard'!C26</f>
        <v/>
      </c>
      <c r="F8" s="14">
        <f>'Dashboard'!C26</f>
        <v/>
      </c>
      <c r="G8" s="14">
        <f>'Dashboard'!C26</f>
        <v/>
      </c>
      <c r="H8" s="14">
        <f>'Dashboard'!C26</f>
        <v/>
      </c>
      <c r="I8" s="14">
        <f>'Dashboard'!C26</f>
        <v/>
      </c>
      <c r="J8" s="14">
        <f>'Dashboard'!C26</f>
        <v/>
      </c>
      <c r="K8" s="14">
        <f>'Dashboard'!C26</f>
        <v/>
      </c>
      <c r="L8" s="14">
        <f>'Dashboard'!C26</f>
        <v/>
      </c>
      <c r="M8" s="14">
        <f>'Dashboard'!C26</f>
        <v/>
      </c>
      <c r="N8" s="14">
        <f>'Dashboard'!C26</f>
        <v/>
      </c>
      <c r="O8" s="1" t="n"/>
      <c r="P8" s="1" t="n"/>
    </row>
    <row r="9">
      <c r="A9" s="1" t="n"/>
      <c r="B9" s="8" t="inlineStr">
        <is>
          <t>General Savings</t>
        </is>
      </c>
      <c r="C9" s="14">
        <f>'Dashboard'!C27</f>
        <v/>
      </c>
      <c r="D9" s="14">
        <f>'Dashboard'!C27</f>
        <v/>
      </c>
      <c r="E9" s="14">
        <f>'Dashboard'!C27</f>
        <v/>
      </c>
      <c r="F9" s="14">
        <f>'Dashboard'!C27</f>
        <v/>
      </c>
      <c r="G9" s="14">
        <f>'Dashboard'!C27</f>
        <v/>
      </c>
      <c r="H9" s="14">
        <f>'Dashboard'!C27</f>
        <v/>
      </c>
      <c r="I9" s="14">
        <f>'Dashboard'!C27</f>
        <v/>
      </c>
      <c r="J9" s="14">
        <f>'Dashboard'!C27</f>
        <v/>
      </c>
      <c r="K9" s="14">
        <f>'Dashboard'!C27</f>
        <v/>
      </c>
      <c r="L9" s="14">
        <f>'Dashboard'!C27</f>
        <v/>
      </c>
      <c r="M9" s="14">
        <f>'Dashboard'!C27</f>
        <v/>
      </c>
      <c r="N9" s="14">
        <f>'Dashboard'!C27</f>
        <v/>
      </c>
      <c r="O9" s="1" t="n"/>
      <c r="P9" s="1" t="n"/>
    </row>
    <row r="10">
      <c r="A10" s="1" t="n"/>
      <c r="B10" s="17" t="inlineStr">
        <is>
          <t>Monthly Total</t>
        </is>
      </c>
      <c r="C10" s="15">
        <f>SUM(C5:C9)</f>
        <v/>
      </c>
      <c r="D10" s="15">
        <f>SUM(D5:D9)</f>
        <v/>
      </c>
      <c r="E10" s="15">
        <f>SUM(E5:E9)</f>
        <v/>
      </c>
      <c r="F10" s="15">
        <f>SUM(F5:F9)</f>
        <v/>
      </c>
      <c r="G10" s="15">
        <f>SUM(G5:G9)</f>
        <v/>
      </c>
      <c r="H10" s="15">
        <f>SUM(H5:H9)</f>
        <v/>
      </c>
      <c r="I10" s="15">
        <f>SUM(I5:I9)</f>
        <v/>
      </c>
      <c r="J10" s="15">
        <f>SUM(J5:J9)</f>
        <v/>
      </c>
      <c r="K10" s="15">
        <f>SUM(K5:K9)</f>
        <v/>
      </c>
      <c r="L10" s="15">
        <f>SUM(L5:L9)</f>
        <v/>
      </c>
      <c r="M10" s="15">
        <f>SUM(M5:M9)</f>
        <v/>
      </c>
      <c r="N10" s="15">
        <f>SUM(N5:N9)</f>
        <v/>
      </c>
      <c r="O10" s="1" t="n"/>
      <c r="P10" s="1" t="n"/>
    </row>
    <row r="11">
      <c r="A11" s="1" t="n"/>
      <c r="B11" s="17" t="inlineStr">
        <is>
          <t>Cumulative Total</t>
        </is>
      </c>
      <c r="C11" s="15">
        <f>C10</f>
        <v/>
      </c>
      <c r="D11" s="15">
        <f>C11+D10</f>
        <v/>
      </c>
      <c r="E11" s="15">
        <f>D11+E10</f>
        <v/>
      </c>
      <c r="F11" s="15">
        <f>E11+F10</f>
        <v/>
      </c>
      <c r="G11" s="15">
        <f>F11+G10</f>
        <v/>
      </c>
      <c r="H11" s="15">
        <f>G11+H10</f>
        <v/>
      </c>
      <c r="I11" s="15">
        <f>H11+I10</f>
        <v/>
      </c>
      <c r="J11" s="15">
        <f>I11+J10</f>
        <v/>
      </c>
      <c r="K11" s="15">
        <f>J11+K10</f>
        <v/>
      </c>
      <c r="L11" s="15">
        <f>K11+L10</f>
        <v/>
      </c>
      <c r="M11" s="15">
        <f>L11+M10</f>
        <v/>
      </c>
      <c r="N11" s="15">
        <f>M11+N10</f>
        <v/>
      </c>
      <c r="O11" s="1" t="n"/>
      <c r="P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" t="n"/>
      <c r="B13" s="3" t="inlineStr">
        <is>
          <t>TULSA REMOTE GRANT ALLOCATION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1" t="n"/>
      <c r="P13" s="1" t="n"/>
    </row>
    <row r="14">
      <c r="A14" s="1" t="n"/>
      <c r="B14" s="17" t="inlineStr">
        <is>
          <t>Grant Applied to Rent</t>
        </is>
      </c>
      <c r="C14" s="25">
        <f>'Dashboard'!C7/12</f>
        <v/>
      </c>
      <c r="D14" s="25">
        <f>'Dashboard'!C7/12</f>
        <v/>
      </c>
      <c r="E14" s="25">
        <f>'Dashboard'!C7/12</f>
        <v/>
      </c>
      <c r="F14" s="25">
        <f>'Dashboard'!C7/12</f>
        <v/>
      </c>
      <c r="G14" s="25">
        <f>'Dashboard'!C7/12</f>
        <v/>
      </c>
      <c r="H14" s="25">
        <f>'Dashboard'!C7/12</f>
        <v/>
      </c>
      <c r="I14" s="25">
        <f>'Dashboard'!C7/12</f>
        <v/>
      </c>
      <c r="J14" s="25">
        <f>'Dashboard'!C7/12</f>
        <v/>
      </c>
      <c r="K14" s="25">
        <f>'Dashboard'!C7/12</f>
        <v/>
      </c>
      <c r="L14" s="25">
        <f>'Dashboard'!C7/12</f>
        <v/>
      </c>
      <c r="M14" s="25">
        <f>'Dashboard'!C7/12</f>
        <v/>
      </c>
      <c r="N14" s="25">
        <f>'Dashboard'!C7/12</f>
        <v/>
      </c>
      <c r="O14" s="1" t="n"/>
      <c r="P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</sheetData>
  <mergeCells count="1">
    <mergeCell ref="B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F4444"/>
    <outlinePr summaryBelow="1" summaryRight="1"/>
    <pageSetUpPr/>
  </sheetPr>
  <dimension ref="A1:J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8" customWidth="1" min="5" max="5"/>
    <col width="20" customWidth="1" min="6" max="6"/>
  </cols>
  <sheetData>
    <row r="1">
      <c r="A1" s="1" t="n"/>
      <c r="B1" s="2" t="inlineStr">
        <is>
          <t>City Cost-of-Living Comparison</t>
        </is>
      </c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COST COMPARISON</t>
        </is>
      </c>
      <c r="C3" s="3" t="n"/>
      <c r="D3" s="3" t="n"/>
      <c r="E3" s="3" t="n"/>
      <c r="F3" s="3" t="n"/>
      <c r="G3" s="1" t="n"/>
      <c r="H3" s="1" t="n"/>
      <c r="I3" s="1" t="n"/>
      <c r="J3" s="1" t="n"/>
    </row>
    <row r="4">
      <c r="A4" s="1" t="n"/>
      <c r="B4" s="7" t="inlineStr">
        <is>
          <t>Category</t>
        </is>
      </c>
      <c r="C4" s="7" t="inlineStr">
        <is>
          <t>Dallas</t>
        </is>
      </c>
      <c r="D4" s="7" t="inlineStr">
        <is>
          <t>Tulsa</t>
        </is>
      </c>
      <c r="E4" s="7" t="inlineStr">
        <is>
          <t>NW Arkansas</t>
        </is>
      </c>
      <c r="F4" s="7" t="inlineStr">
        <is>
          <t>Best Option</t>
        </is>
      </c>
      <c r="G4" s="1" t="n"/>
      <c r="H4" s="1" t="n"/>
      <c r="I4" s="1" t="n"/>
      <c r="J4" s="1" t="n"/>
    </row>
    <row r="5">
      <c r="A5" s="1" t="n"/>
      <c r="B5" s="8" t="inlineStr">
        <is>
          <t>Rent (1BR)</t>
        </is>
      </c>
      <c r="C5" s="5" t="n">
        <v>1200</v>
      </c>
      <c r="D5" s="5" t="n">
        <v>900</v>
      </c>
      <c r="E5" s="5" t="n">
        <v>950</v>
      </c>
      <c r="F5" s="27">
        <f>IF(AND(C5&lt;=D5,C5&lt;=E5),"Dallas",IF(AND(D5&lt;=C5,D5&lt;=E5),"Tulsa","NW Arkansas"))</f>
        <v/>
      </c>
      <c r="G5" s="1" t="n"/>
      <c r="H5" s="1" t="n"/>
      <c r="I5" s="1" t="n"/>
      <c r="J5" s="1" t="n"/>
    </row>
    <row r="6">
      <c r="A6" s="1" t="n"/>
      <c r="B6" s="4" t="inlineStr">
        <is>
          <t>Grant Offset</t>
        </is>
      </c>
      <c r="C6" s="5" t="n">
        <v>0</v>
      </c>
      <c r="D6" s="5" t="n">
        <v>-833</v>
      </c>
      <c r="E6" s="5" t="n">
        <v>0</v>
      </c>
      <c r="F6" s="27">
        <f>IF(AND(C6&lt;=D6,C6&lt;=E6),"Dallas",IF(AND(D6&lt;=C6,D6&lt;=E6),"Tulsa","NW Arkansas"))</f>
        <v/>
      </c>
      <c r="G6" s="1" t="n"/>
      <c r="H6" s="1" t="n"/>
      <c r="I6" s="1" t="n"/>
      <c r="J6" s="1" t="n"/>
    </row>
    <row r="7">
      <c r="A7" s="1" t="n"/>
      <c r="B7" s="8" t="inlineStr">
        <is>
          <t>Effective Rent</t>
        </is>
      </c>
      <c r="C7" s="14">
        <f>C5+C6</f>
        <v/>
      </c>
      <c r="D7" s="14">
        <f>D5+D6</f>
        <v/>
      </c>
      <c r="E7" s="14">
        <f>E5+E6</f>
        <v/>
      </c>
      <c r="F7" s="27">
        <f>IF(AND(C7&lt;=D7,C7&lt;=E7),"Dallas",IF(AND(D7&lt;=C7,D7&lt;=E7),"Tulsa","NW Arkansas"))</f>
        <v/>
      </c>
      <c r="G7" s="1" t="n"/>
      <c r="H7" s="1" t="n"/>
      <c r="I7" s="1" t="n"/>
      <c r="J7" s="1" t="n"/>
    </row>
    <row r="8">
      <c r="A8" s="1" t="n"/>
      <c r="B8" s="4" t="inlineStr">
        <is>
          <t>Utilities</t>
        </is>
      </c>
      <c r="C8" s="5" t="n">
        <v>150</v>
      </c>
      <c r="D8" s="5" t="n">
        <v>120</v>
      </c>
      <c r="E8" s="5" t="n">
        <v>125</v>
      </c>
      <c r="F8" s="27">
        <f>IF(AND(C8&lt;=D8,C8&lt;=E8),"Dallas",IF(AND(D8&lt;=C8,D8&lt;=E8),"Tulsa","NW Arkansas"))</f>
        <v/>
      </c>
      <c r="G8" s="1" t="n"/>
      <c r="H8" s="1" t="n"/>
      <c r="I8" s="1" t="n"/>
      <c r="J8" s="1" t="n"/>
    </row>
    <row r="9">
      <c r="A9" s="1" t="n"/>
      <c r="B9" s="8" t="inlineStr">
        <is>
          <t>Groceries</t>
        </is>
      </c>
      <c r="C9" s="5" t="n">
        <v>350</v>
      </c>
      <c r="D9" s="5" t="n">
        <v>280</v>
      </c>
      <c r="E9" s="5" t="n">
        <v>290</v>
      </c>
      <c r="F9" s="27">
        <f>IF(AND(C9&lt;=D9,C9&lt;=E9),"Dallas",IF(AND(D9&lt;=C9,D9&lt;=E9),"Tulsa","NW Arkansas"))</f>
        <v/>
      </c>
      <c r="G9" s="1" t="n"/>
      <c r="H9" s="1" t="n"/>
      <c r="I9" s="1" t="n"/>
      <c r="J9" s="1" t="n"/>
    </row>
    <row r="10">
      <c r="A10" s="1" t="n"/>
      <c r="B10" s="4" t="inlineStr">
        <is>
          <t>Gas (monthly)</t>
        </is>
      </c>
      <c r="C10" s="5" t="n">
        <v>100</v>
      </c>
      <c r="D10" s="5" t="n">
        <v>75</v>
      </c>
      <c r="E10" s="5" t="n">
        <v>80</v>
      </c>
      <c r="F10" s="27">
        <f>IF(AND(C10&lt;=D10,C10&lt;=E10),"Dallas",IF(AND(D10&lt;=C10,D10&lt;=E10),"Tulsa","NW Arkansas"))</f>
        <v/>
      </c>
      <c r="G10" s="1" t="n"/>
      <c r="H10" s="1" t="n"/>
      <c r="I10" s="1" t="n"/>
      <c r="J10" s="1" t="n"/>
    </row>
    <row r="11">
      <c r="A11" s="1" t="n"/>
      <c r="B11" s="8" t="inlineStr">
        <is>
          <t>Car Insurance</t>
        </is>
      </c>
      <c r="C11" s="5" t="n">
        <v>140</v>
      </c>
      <c r="D11" s="5" t="n">
        <v>100</v>
      </c>
      <c r="E11" s="5" t="n">
        <v>110</v>
      </c>
      <c r="F11" s="27">
        <f>IF(AND(C11&lt;=D11,C11&lt;=E11),"Dallas",IF(AND(D11&lt;=C11,D11&lt;=E11),"Tulsa","NW Arkansas"))</f>
        <v/>
      </c>
      <c r="G11" s="1" t="n"/>
      <c r="H11" s="1" t="n"/>
      <c r="I11" s="1" t="n"/>
      <c r="J11" s="1" t="n"/>
    </row>
    <row r="12">
      <c r="A12" s="1" t="n"/>
      <c r="B12" s="4" t="inlineStr">
        <is>
          <t>Dining Out</t>
        </is>
      </c>
      <c r="C12" s="5" t="n">
        <v>120</v>
      </c>
      <c r="D12" s="5" t="n">
        <v>80</v>
      </c>
      <c r="E12" s="5" t="n">
        <v>85</v>
      </c>
      <c r="F12" s="27">
        <f>IF(AND(C12&lt;=D12,C12&lt;=E12),"Dallas",IF(AND(D12&lt;=C12,D12&lt;=E12),"Tulsa","NW Arkansas"))</f>
        <v/>
      </c>
      <c r="G12" s="1" t="n"/>
      <c r="H12" s="1" t="n"/>
      <c r="I12" s="1" t="n"/>
      <c r="J12" s="1" t="n"/>
    </row>
    <row r="13">
      <c r="A13" s="1" t="n"/>
      <c r="B13" s="8" t="inlineStr">
        <is>
          <t>State Tax Rate</t>
        </is>
      </c>
      <c r="C13" s="13" t="n">
        <v>0</v>
      </c>
      <c r="D13" s="13" t="n">
        <v>0.0475</v>
      </c>
      <c r="E13" s="13" t="n">
        <v>0.047</v>
      </c>
      <c r="F13" s="27">
        <f>IF(AND(C13&lt;=D13,C13&lt;=E13),"Dallas",IF(AND(D13&lt;=C13,D13&lt;=E13),"Tulsa","NW Arkansas"))</f>
        <v/>
      </c>
      <c r="G13" s="1" t="n"/>
      <c r="H13" s="1" t="n"/>
      <c r="I13" s="1" t="n"/>
      <c r="J13" s="1" t="n"/>
    </row>
    <row r="14">
      <c r="A14" s="1" t="n"/>
      <c r="B14" s="4" t="inlineStr">
        <is>
          <t>Avg Home Price</t>
        </is>
      </c>
      <c r="C14" s="9" t="n">
        <v>350000</v>
      </c>
      <c r="D14" s="9" t="n">
        <v>210000</v>
      </c>
      <c r="E14" s="9" t="n">
        <v>240000</v>
      </c>
      <c r="F14" s="27">
        <f>IF(AND(C14&lt;=D14,C14&lt;=E14),"Dallas",IF(AND(D14&lt;=C14,D14&lt;=E14),"Tulsa","NW Arkansas"))</f>
        <v/>
      </c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</sheetData>
  <mergeCells count="1">
    <mergeCell ref="B1:F1"/>
  </mergeCells>
  <conditionalFormatting sqref="C5">
    <cfRule type="expression" priority="1" dxfId="0">
      <formula>=AND(C5&lt;=D5,C5&lt;=E5)</formula>
    </cfRule>
  </conditionalFormatting>
  <conditionalFormatting sqref="D5">
    <cfRule type="expression" priority="2" dxfId="0">
      <formula>=AND(D5&lt;=C5,D5&lt;=E5)</formula>
    </cfRule>
  </conditionalFormatting>
  <conditionalFormatting sqref="E5">
    <cfRule type="expression" priority="3" dxfId="0">
      <formula>=AND(E5&lt;=C5,E5&lt;=D5)</formula>
    </cfRule>
  </conditionalFormatting>
  <conditionalFormatting sqref="C6">
    <cfRule type="expression" priority="4" dxfId="0">
      <formula>=AND(C6&lt;=D6,C6&lt;=E6)</formula>
    </cfRule>
  </conditionalFormatting>
  <conditionalFormatting sqref="D6">
    <cfRule type="expression" priority="5" dxfId="0">
      <formula>=AND(D6&lt;=C6,D6&lt;=E6)</formula>
    </cfRule>
  </conditionalFormatting>
  <conditionalFormatting sqref="E6">
    <cfRule type="expression" priority="6" dxfId="0">
      <formula>=AND(E6&lt;=C6,E6&lt;=D6)</formula>
    </cfRule>
  </conditionalFormatting>
  <conditionalFormatting sqref="C7">
    <cfRule type="expression" priority="7" dxfId="0">
      <formula>=AND(C7&lt;=D7,C7&lt;=E7)</formula>
    </cfRule>
  </conditionalFormatting>
  <conditionalFormatting sqref="D7">
    <cfRule type="expression" priority="8" dxfId="0">
      <formula>=AND(D7&lt;=C7,D7&lt;=E7)</formula>
    </cfRule>
  </conditionalFormatting>
  <conditionalFormatting sqref="E7">
    <cfRule type="expression" priority="9" dxfId="0">
      <formula>=AND(E7&lt;=C7,E7&lt;=D7)</formula>
    </cfRule>
  </conditionalFormatting>
  <conditionalFormatting sqref="C8">
    <cfRule type="expression" priority="10" dxfId="0">
      <formula>=AND(C8&lt;=D8,C8&lt;=E8)</formula>
    </cfRule>
  </conditionalFormatting>
  <conditionalFormatting sqref="D8">
    <cfRule type="expression" priority="11" dxfId="0">
      <formula>=AND(D8&lt;=C8,D8&lt;=E8)</formula>
    </cfRule>
  </conditionalFormatting>
  <conditionalFormatting sqref="E8">
    <cfRule type="expression" priority="12" dxfId="0">
      <formula>=AND(E8&lt;=C8,E8&lt;=D8)</formula>
    </cfRule>
  </conditionalFormatting>
  <conditionalFormatting sqref="C9">
    <cfRule type="expression" priority="13" dxfId="0">
      <formula>=AND(C9&lt;=D9,C9&lt;=E9)</formula>
    </cfRule>
  </conditionalFormatting>
  <conditionalFormatting sqref="D9">
    <cfRule type="expression" priority="14" dxfId="0">
      <formula>=AND(D9&lt;=C9,D9&lt;=E9)</formula>
    </cfRule>
  </conditionalFormatting>
  <conditionalFormatting sqref="E9">
    <cfRule type="expression" priority="15" dxfId="0">
      <formula>=AND(E9&lt;=C9,E9&lt;=D9)</formula>
    </cfRule>
  </conditionalFormatting>
  <conditionalFormatting sqref="C10">
    <cfRule type="expression" priority="16" dxfId="0">
      <formula>=AND(C10&lt;=D10,C10&lt;=E10)</formula>
    </cfRule>
  </conditionalFormatting>
  <conditionalFormatting sqref="D10">
    <cfRule type="expression" priority="17" dxfId="0">
      <formula>=AND(D10&lt;=C10,D10&lt;=E10)</formula>
    </cfRule>
  </conditionalFormatting>
  <conditionalFormatting sqref="E10">
    <cfRule type="expression" priority="18" dxfId="0">
      <formula>=AND(E10&lt;=C10,E10&lt;=D10)</formula>
    </cfRule>
  </conditionalFormatting>
  <conditionalFormatting sqref="C11">
    <cfRule type="expression" priority="19" dxfId="0">
      <formula>=AND(C11&lt;=D11,C11&lt;=E11)</formula>
    </cfRule>
  </conditionalFormatting>
  <conditionalFormatting sqref="D11">
    <cfRule type="expression" priority="20" dxfId="0">
      <formula>=AND(D11&lt;=C11,D11&lt;=E11)</formula>
    </cfRule>
  </conditionalFormatting>
  <conditionalFormatting sqref="E11">
    <cfRule type="expression" priority="21" dxfId="0">
      <formula>=AND(E11&lt;=C11,E11&lt;=D11)</formula>
    </cfRule>
  </conditionalFormatting>
  <conditionalFormatting sqref="C12">
    <cfRule type="expression" priority="22" dxfId="0">
      <formula>=AND(C12&lt;=D12,C12&lt;=E12)</formula>
    </cfRule>
  </conditionalFormatting>
  <conditionalFormatting sqref="D12">
    <cfRule type="expression" priority="23" dxfId="0">
      <formula>=AND(D12&lt;=C12,D12&lt;=E12)</formula>
    </cfRule>
  </conditionalFormatting>
  <conditionalFormatting sqref="E12">
    <cfRule type="expression" priority="24" dxfId="0">
      <formula>=AND(E12&lt;=C12,E12&lt;=D12)</formula>
    </cfRule>
  </conditionalFormatting>
  <conditionalFormatting sqref="C13">
    <cfRule type="expression" priority="25" dxfId="0">
      <formula>=AND(C13&lt;=D13,C13&lt;=E13)</formula>
    </cfRule>
  </conditionalFormatting>
  <conditionalFormatting sqref="D13">
    <cfRule type="expression" priority="26" dxfId="0">
      <formula>=AND(D13&lt;=C13,D13&lt;=E13)</formula>
    </cfRule>
  </conditionalFormatting>
  <conditionalFormatting sqref="E13">
    <cfRule type="expression" priority="27" dxfId="0">
      <formula>=AND(E13&lt;=C13,E13&lt;=D13)</formula>
    </cfRule>
  </conditionalFormatting>
  <conditionalFormatting sqref="C14">
    <cfRule type="expression" priority="28" dxfId="0">
      <formula>=AND(C14&lt;=D14,C14&lt;=E14)</formula>
    </cfRule>
  </conditionalFormatting>
  <conditionalFormatting sqref="D14">
    <cfRule type="expression" priority="29" dxfId="0">
      <formula>=AND(D14&lt;=C14,D14&lt;=E14)</formula>
    </cfRule>
  </conditionalFormatting>
  <conditionalFormatting sqref="E14">
    <cfRule type="expression" priority="30" dxfId="0">
      <formula>=AND(E14&lt;=C14,E14&lt;=D14)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0C040"/>
    <outlinePr summaryBelow="1" summaryRight="1"/>
    <pageSetUpPr/>
  </sheetPr>
  <dimension ref="A1:J4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1">
      <c r="A1" s="1" t="n"/>
      <c r="B1" s="2" t="inlineStr">
        <is>
          <t>Net Worth Tracker</t>
        </is>
      </c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28" t="inlineStr">
        <is>
          <t>ASSETS</t>
        </is>
      </c>
      <c r="C3" s="28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4" t="inlineStr">
        <is>
          <t>Checking Account</t>
        </is>
      </c>
      <c r="C4" s="5" t="n">
        <v>2500</v>
      </c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8" t="inlineStr">
        <is>
          <t>Savings / HYSA</t>
        </is>
      </c>
      <c r="C5" s="5" t="n">
        <v>5000</v>
      </c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4" t="inlineStr">
        <is>
          <t>House Down Payment Fund</t>
        </is>
      </c>
      <c r="C6" s="5" t="n">
        <v>5000</v>
      </c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8" t="inlineStr">
        <is>
          <t>Car Fund</t>
        </is>
      </c>
      <c r="C7" s="5" t="n">
        <v>2000</v>
      </c>
      <c r="D7" s="1" t="n"/>
      <c r="E7" s="1" t="n"/>
      <c r="F7" s="1" t="n"/>
      <c r="G7" s="1" t="n"/>
      <c r="H7" s="1" t="n"/>
      <c r="I7" s="1" t="n"/>
      <c r="J7" s="1" t="n"/>
    </row>
    <row r="8">
      <c r="A8" s="1" t="n"/>
      <c r="B8" s="4" t="inlineStr">
        <is>
          <t>Travel Fund</t>
        </is>
      </c>
      <c r="C8" s="5" t="n">
        <v>800</v>
      </c>
      <c r="D8" s="1" t="n"/>
      <c r="E8" s="1" t="n"/>
      <c r="F8" s="1" t="n"/>
      <c r="G8" s="1" t="n"/>
      <c r="H8" s="1" t="n"/>
      <c r="I8" s="1" t="n"/>
      <c r="J8" s="1" t="n"/>
    </row>
    <row r="9">
      <c r="A9" s="1" t="n"/>
      <c r="B9" s="8" t="inlineStr">
        <is>
          <t>Emergency Fund</t>
        </is>
      </c>
      <c r="C9" s="5" t="n">
        <v>3000</v>
      </c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4" t="inlineStr">
        <is>
          <t>General Savings</t>
        </is>
      </c>
      <c r="C10" s="5" t="n">
        <v>500</v>
      </c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8" t="inlineStr">
        <is>
          <t>401(k)</t>
        </is>
      </c>
      <c r="C11" s="5" t="n">
        <v>8000</v>
      </c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4" t="inlineStr">
        <is>
          <t>Investments / Brokerage</t>
        </is>
      </c>
      <c r="C12" s="5" t="n">
        <v>1500</v>
      </c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7" t="inlineStr">
        <is>
          <t>TOTAL ASSETS</t>
        </is>
      </c>
      <c r="C13" s="25">
        <f>SUM(C4:C12)</f>
        <v/>
      </c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29" t="inlineStr">
        <is>
          <t>LIABILITIES</t>
        </is>
      </c>
      <c r="C15" s="29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4" t="inlineStr">
        <is>
          <t>Car Loan</t>
        </is>
      </c>
      <c r="C16" s="5" t="n">
        <v>0</v>
      </c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8" t="inlineStr">
        <is>
          <t>Student Loans</t>
        </is>
      </c>
      <c r="C17" s="5" t="n">
        <v>0</v>
      </c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4" t="inlineStr">
        <is>
          <t>Credit Cards</t>
        </is>
      </c>
      <c r="C18" s="5" t="n">
        <v>0</v>
      </c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8" t="inlineStr">
        <is>
          <t>Other Debt</t>
        </is>
      </c>
      <c r="C19" s="5" t="n">
        <v>0</v>
      </c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7" t="inlineStr">
        <is>
          <t>TOTAL LIABILITIES</t>
        </is>
      </c>
      <c r="C20" s="30">
        <f>SUM(C16:C19)</f>
        <v/>
      </c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3" t="inlineStr">
        <is>
          <t>NET WORTH</t>
        </is>
      </c>
      <c r="C22" s="3" t="n"/>
      <c r="D22" s="1" t="n"/>
      <c r="E22" s="1" t="n"/>
      <c r="F22" s="1" t="n"/>
      <c r="G22" s="1" t="n"/>
      <c r="H22" s="1" t="n"/>
      <c r="I22" s="1" t="n"/>
      <c r="J22" s="1" t="n"/>
    </row>
    <row r="23" ht="30" customHeight="1">
      <c r="A23" s="1" t="n"/>
      <c r="B23" s="17" t="inlineStr">
        <is>
          <t>Total Net Worth</t>
        </is>
      </c>
      <c r="C23" s="19">
        <f>C13-C20</f>
        <v/>
      </c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2026-03-16T00:12:39Z</dcterms:created>
  <dcterms:modified xsi:type="dcterms:W3CDTF">2026-03-16T00:12:39Z</dcterms:modified>
</cp:coreProperties>
</file>